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04-Projets\P_Script\"/>
    </mc:Choice>
  </mc:AlternateContent>
  <bookViews>
    <workbookView xWindow="0" yWindow="0" windowWidth="28800" windowHeight="11700" activeTab="1"/>
  </bookViews>
  <sheets>
    <sheet name="Bilan Graphique" sheetId="17" r:id="rId1"/>
    <sheet name="Bilan" sheetId="1" r:id="rId2"/>
    <sheet name="Journal" sheetId="12" r:id="rId3"/>
    <sheet name="Planning" sheetId="10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2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2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B48" i="12"/>
  <c r="C47" i="12"/>
  <c r="C46" i="12"/>
  <c r="C45" i="12"/>
  <c r="C44" i="12"/>
  <c r="C43" i="12"/>
  <c r="C42" i="12"/>
  <c r="C41" i="12"/>
  <c r="C28" i="12"/>
  <c r="C40" i="12"/>
  <c r="C12" i="12"/>
  <c r="C24" i="12"/>
  <c r="C36" i="12"/>
  <c r="C48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92" i="1"/>
  <c r="D30" i="1"/>
  <c r="D74" i="1"/>
  <c r="D58" i="1"/>
  <c r="D36" i="1"/>
  <c r="C11" i="15"/>
  <c r="D60" i="1"/>
  <c r="D41" i="1"/>
  <c r="D83" i="1"/>
  <c r="D25" i="1"/>
  <c r="D23" i="1"/>
  <c r="C11" i="16"/>
  <c r="D86" i="1"/>
  <c r="D16" i="1"/>
  <c r="D88" i="1"/>
  <c r="D85" i="1"/>
  <c r="D26" i="1"/>
  <c r="D67" i="1"/>
  <c r="D72" i="1"/>
  <c r="D69" i="1"/>
  <c r="D40" i="1"/>
  <c r="D53" i="1"/>
  <c r="D70" i="1"/>
  <c r="D54" i="1"/>
  <c r="D38" i="1"/>
  <c r="D19" i="1"/>
  <c r="D32" i="1"/>
  <c r="D37" i="1"/>
  <c r="D27" i="1"/>
  <c r="D22" i="1"/>
  <c r="D82" i="1"/>
  <c r="D87" i="1"/>
  <c r="D21" i="1"/>
  <c r="D81" i="1"/>
  <c r="D24" i="1"/>
  <c r="D66" i="1"/>
  <c r="D59" i="1"/>
  <c r="D84" i="1"/>
  <c r="D65" i="1"/>
  <c r="D63" i="1"/>
  <c r="D50" i="1"/>
  <c r="D39" i="1"/>
  <c r="D68" i="1"/>
  <c r="D49" i="1"/>
  <c r="D93" i="1"/>
  <c r="D34" i="1"/>
  <c r="D15" i="1"/>
  <c r="D48" i="1"/>
  <c r="D33" i="1"/>
  <c r="D77" i="1"/>
  <c r="D18" i="1"/>
  <c r="D94" i="1"/>
  <c r="D28" i="1"/>
  <c r="D17" i="1"/>
  <c r="D61" i="1"/>
  <c r="D91" i="1"/>
  <c r="D78" i="1"/>
  <c r="D79" i="1"/>
  <c r="D80" i="1"/>
  <c r="D45" i="1"/>
  <c r="D47" i="1"/>
  <c r="D62" i="1"/>
  <c r="D55" i="1"/>
  <c r="D64" i="1"/>
  <c r="D29" i="1"/>
  <c r="D89" i="1"/>
  <c r="D46" i="1"/>
  <c r="D31" i="1"/>
  <c r="D44" i="1"/>
  <c r="D20" i="1"/>
  <c r="D73" i="1"/>
  <c r="D76" i="1"/>
  <c r="D52" i="1"/>
  <c r="D51" i="1"/>
  <c r="D35" i="1"/>
  <c r="D43" i="1"/>
  <c r="D57" i="1"/>
  <c r="D75" i="1"/>
  <c r="D71" i="1"/>
  <c r="D42" i="1"/>
  <c r="D56" i="1"/>
  <c r="D90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<sst xmlns="http://schemas.openxmlformats.org/spreadsheetml/2006/main" count="208" uniqueCount="52">
  <si>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</si>
  <si>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</si>
  <si>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</si>
  <si>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</si>
  <si>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</si>
  <si>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</si>
  <si>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</si>
  <si>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</si>
  <si>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</si>
  <si>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</si>
  <si>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</si>
  <si>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</si>
  <si>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</si>
  <si>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</si>
  <si>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</si>
  <si>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</si>
  <si>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</si>
  <si>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</si>
  <si>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</si>
  <si>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</si>
  <si>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</si>
  <si>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</si>
  <si>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</si>
  <si>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</si>
  <si>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</si>
  <si>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</si>
  <si>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</si>
  <si>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</si>
  <si>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</si>
  <si>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</si>
  <si>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</si>
  <si>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</si>
  <si>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</si>
  <si>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</si>
  <si>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</si>
  <si>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</si>
  <si>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</si>
  <si>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</si>
  <si>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</si>
  <si>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</si>
  <si>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</si>
  <si>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</si>
  <si>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I122-Script</t>
  </si>
  <si>
    <t>Emilien Chaprié</t>
  </si>
  <si>
    <t>GRP2a</t>
  </si>
  <si>
    <t>Réalisation - Cahier des charges</t>
  </si>
  <si>
    <t>Git - Créer le repository et paramètrer</t>
  </si>
  <si>
    <t>Du 13.04.2022 au 18.05.2022</t>
  </si>
  <si>
    <t>Réalisation du cahier des charges que l'on a envoyer à un autre groupe</t>
  </si>
  <si>
    <t>Reception du test du module 122</t>
  </si>
  <si>
    <t>4h45min</t>
  </si>
  <si>
    <t>+ 4h45min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</si>
</sst>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6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14" fontId="21" fillId="0" borderId="5" xfId="0" applyNumberFormat="1" applyFont="1" applyBorder="1" applyAlignment="1">
      <alignment horizont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19" xfId="0" applyFont="1" applyFill="1" applyBorder="1"/>
    <xf numFmtId="0" fontId="2" fillId="17" borderId="72" xfId="0" applyFont="1" applyFill="1" applyBorder="1"/>
    <xf numFmtId="0" fontId="2" fillId="17" borderId="27" xfId="0" applyFont="1" applyFill="1" applyBorder="1" applyProtection="1"/>
    <xf numFmtId="0" fontId="2" fillId="17" borderId="28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7" borderId="56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  <c:pt idx="0">
                <c:v>Absences - imprévus </c:v>
              </c:pt>
              <c:pt idx="1">
                <c:v>Réalisation - Cahier des charges</c:v>
              </c:pt>
              <c:pt idx="2">
                <c:v>Doc - Journal de travail</c:v>
              </c:pt>
              <c:pt idx="3">
                <c:v>Git - Créer le repository et paramètrer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5"/>
              <c:pt idx="0">
                <c:v>0.75</c:v>
              </c:pt>
              <c:pt idx="1">
                <c:v>4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5" t="s">
        <v>31</v>
      </c>
      <c r="C35" s="165"/>
      <c r="D35" s="165"/>
      <c r="E35" s="107" t="s">
        <v>40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6" t="s">
        <v>32</v>
      </c>
      <c r="C37" s="166"/>
      <c r="D37" s="166"/>
      <c r="E37" s="109" t="s">
        <v>50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225" t="s">
        <v>51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IL99"/>
  <sheetViews>
    <sheetView showGridLines="0" tabSelected="1" zoomScale="70" zoomScaleNormal="70" zoomScaleSheetLayoutView="43" workbookViewId="0">
      <selection activeCell="F94" sqref="F94:IK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245" width="1.140625" style="3" customWidth="1"/>
    <col min="246" max="246" width="2.7109375" style="3" customWidth="1"/>
    <col min="247" max="16384" width="11.42578125" style="3"/>
  </cols>
  <sheetData>
    <row r="1" spans="1:246" ht="35.1" customHeight="1" x14ac:dyDescent="0.25">
      <c r="B1" s="95"/>
      <c r="C1" s="167" t="s">
        <v>30</v>
      </c>
      <c r="D1" s="167"/>
      <c r="E1" s="167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93">
        <v>1</v>
      </c>
    </row>
    <row r="2" spans="1:24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90"/>
    </row>
    <row r="3" spans="1:246" ht="30" customHeight="1" x14ac:dyDescent="0.25">
      <c r="B3" s="96"/>
      <c r="C3" s="7" t="s">
        <v>0</v>
      </c>
      <c r="D3" s="140"/>
      <c r="E3" s="8" t="s">
        <v>42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90"/>
    </row>
    <row r="4" spans="1:246" ht="30" customHeight="1" x14ac:dyDescent="0.25">
      <c r="B4" s="96"/>
      <c r="C4" s="12" t="s">
        <v>6</v>
      </c>
      <c r="D4" s="141"/>
      <c r="E4" s="13" t="s">
        <v>43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90"/>
    </row>
    <row r="5" spans="1:246" ht="30" customHeight="1" x14ac:dyDescent="0.25">
      <c r="B5" s="96"/>
      <c r="C5" s="12" t="s">
        <v>1</v>
      </c>
      <c r="D5" s="141"/>
      <c r="E5" s="13" t="s">
        <v>44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90"/>
    </row>
    <row r="6" spans="1:24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90"/>
    </row>
    <row r="7" spans="1:246" ht="20.100000000000001" customHeight="1" thickBot="1" x14ac:dyDescent="0.3">
      <c r="B7" s="96"/>
      <c r="C7" s="168"/>
      <c r="D7" s="168"/>
      <c r="E7" s="168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90"/>
    </row>
    <row r="8" spans="1:246" ht="30" customHeight="1" x14ac:dyDescent="0.25">
      <c r="B8" s="96"/>
      <c r="C8" s="7" t="s">
        <v>3</v>
      </c>
      <c r="D8" s="140"/>
      <c r="E8" s="8" t="s">
        <v>47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90"/>
    </row>
    <row r="9" spans="1:246" ht="30" customHeight="1" x14ac:dyDescent="0.25">
      <c r="B9" s="96"/>
      <c r="C9" s="12" t="s">
        <v>17</v>
      </c>
      <c r="D9" s="141"/>
      <c r="E9" s="13" t="s">
        <v>21</v>
      </c>
      <c r="F9" s="14"/>
      <c r="G9" s="172" t="str">
        <f>E96</f>
        <v>0h</v>
      </c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19"/>
      <c r="W9" s="181" t="s">
        <v>22</v>
      </c>
      <c r="X9" s="181"/>
      <c r="Y9" s="181"/>
      <c r="Z9" s="181"/>
      <c r="AA9" s="181"/>
      <c r="AB9" s="181"/>
      <c r="AC9" s="181"/>
      <c r="AD9" s="181"/>
      <c r="AE9" s="181"/>
      <c r="AF9" s="181"/>
      <c r="AG9" s="181"/>
      <c r="AH9" s="172" t="str">
        <f>E98</f>
        <v>4h45min</v>
      </c>
      <c r="AI9" s="172"/>
      <c r="AJ9" s="172"/>
      <c r="AK9" s="172"/>
      <c r="AL9" s="172"/>
      <c r="AM9" s="172"/>
      <c r="AN9" s="172"/>
      <c r="AO9" s="172"/>
      <c r="AP9" s="172"/>
      <c r="AQ9" s="172"/>
      <c r="AR9" s="172"/>
      <c r="AS9" s="172"/>
      <c r="AT9" s="172"/>
      <c r="AU9" s="172"/>
      <c r="AV9" s="172"/>
      <c r="AW9" s="172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90"/>
    </row>
    <row r="10" spans="1:24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3"/>
      <c r="BO10" s="183"/>
      <c r="BP10" s="183"/>
      <c r="BQ10" s="183"/>
      <c r="BR10" s="183"/>
      <c r="BS10" s="183"/>
      <c r="BT10" s="183"/>
      <c r="BU10" s="183"/>
      <c r="BV10" s="183"/>
      <c r="BW10" s="183"/>
      <c r="BX10" s="183"/>
      <c r="BY10" s="183"/>
      <c r="BZ10" s="183"/>
      <c r="CA10" s="183"/>
      <c r="CB10" s="183"/>
      <c r="CC10" s="183"/>
      <c r="CD10" s="183"/>
      <c r="CE10" s="183"/>
      <c r="CF10" s="183"/>
      <c r="CG10" s="183"/>
      <c r="CH10" s="183"/>
      <c r="CI10" s="183"/>
      <c r="CJ10" s="183"/>
      <c r="CK10" s="183"/>
      <c r="CL10" s="183"/>
      <c r="CM10" s="183"/>
      <c r="CN10" s="183"/>
      <c r="CO10" s="183"/>
      <c r="CP10" s="183"/>
      <c r="CQ10" s="9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  <c r="II10" s="182"/>
      <c r="IJ10" s="182"/>
      <c r="IK10" s="182"/>
      <c r="IL10" s="90"/>
    </row>
    <row r="11" spans="1:246" ht="20.100000000000001" customHeight="1" x14ac:dyDescent="0.25">
      <c r="B11" s="96"/>
      <c r="C11" s="177"/>
      <c r="D11" s="177"/>
      <c r="E11" s="177"/>
      <c r="F11" s="180" t="s">
        <v>41</v>
      </c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Q11" s="180"/>
      <c r="R11" s="180"/>
      <c r="S11" s="180"/>
      <c r="T11" s="180"/>
      <c r="U11" s="180"/>
      <c r="V11" s="180"/>
      <c r="W11" s="180"/>
      <c r="X11" s="180"/>
      <c r="Y11" s="180"/>
      <c r="Z11" s="180"/>
      <c r="AA11" s="180"/>
      <c r="AB11" s="180"/>
      <c r="AC11" s="180"/>
      <c r="AD11" s="180"/>
      <c r="AE11" s="180"/>
      <c r="AF11" s="180"/>
      <c r="AG11" s="180"/>
      <c r="AH11" s="180"/>
      <c r="AI11" s="180"/>
      <c r="AJ11" s="180"/>
      <c r="AK11" s="180"/>
      <c r="AL11" s="180"/>
      <c r="AM11" s="180"/>
      <c r="AN11" s="180"/>
      <c r="AO11" s="180"/>
      <c r="AP11" s="180"/>
      <c r="AQ11" s="180"/>
      <c r="AR11" s="180"/>
      <c r="AS11" s="180"/>
      <c r="AT11" s="180"/>
      <c r="AU11" s="180"/>
      <c r="AV11" s="180"/>
      <c r="AW11" s="180"/>
      <c r="AX11" s="180"/>
      <c r="AY11" s="180"/>
      <c r="AZ11" s="180"/>
      <c r="BA11" s="180"/>
      <c r="BB11" s="180"/>
      <c r="BC11" s="180"/>
      <c r="BD11" s="180"/>
      <c r="BE11" s="180"/>
      <c r="BF11" s="180"/>
      <c r="BG11" s="180"/>
      <c r="BH11" s="180"/>
      <c r="BI11" s="180"/>
      <c r="BJ11" s="180"/>
      <c r="BK11" s="180"/>
      <c r="BL11" s="180"/>
      <c r="BM11" s="180"/>
      <c r="BN11" s="180" t="s">
        <v>41</v>
      </c>
      <c r="BO11" s="180"/>
      <c r="BP11" s="180"/>
      <c r="BQ11" s="180"/>
      <c r="BR11" s="180"/>
      <c r="BS11" s="180"/>
      <c r="BT11" s="180"/>
      <c r="BU11" s="180"/>
      <c r="BV11" s="180"/>
      <c r="BW11" s="180"/>
      <c r="BX11" s="180"/>
      <c r="BY11" s="180"/>
      <c r="BZ11" s="180"/>
      <c r="CA11" s="180"/>
      <c r="CB11" s="180"/>
      <c r="CC11" s="180"/>
      <c r="CD11" s="180"/>
      <c r="CE11" s="180"/>
      <c r="CF11" s="180"/>
      <c r="CG11" s="180"/>
      <c r="CH11" s="180"/>
      <c r="CI11" s="180"/>
      <c r="CJ11" s="180"/>
      <c r="CK11" s="180"/>
      <c r="CL11" s="180"/>
      <c r="CM11" s="180"/>
      <c r="CN11" s="180"/>
      <c r="CO11" s="180"/>
      <c r="CP11" s="180"/>
      <c r="CQ11" s="180"/>
      <c r="CR11" s="180"/>
      <c r="CS11" s="180"/>
      <c r="CT11" s="180"/>
      <c r="CU11" s="180"/>
      <c r="CV11" s="180"/>
      <c r="CW11" s="180"/>
      <c r="CX11" s="180"/>
      <c r="CY11" s="180"/>
      <c r="CZ11" s="180"/>
      <c r="DA11" s="180"/>
      <c r="DB11" s="180"/>
      <c r="DC11" s="180"/>
      <c r="DD11" s="180"/>
      <c r="DE11" s="180"/>
      <c r="DF11" s="180"/>
      <c r="DG11" s="180"/>
      <c r="DH11" s="180"/>
      <c r="DI11" s="180"/>
      <c r="DJ11" s="180"/>
      <c r="DK11" s="180"/>
      <c r="DL11" s="180"/>
      <c r="DM11" s="180"/>
      <c r="DN11" s="180"/>
      <c r="DO11" s="180"/>
      <c r="DP11" s="180"/>
      <c r="DQ11" s="180"/>
      <c r="DR11" s="180"/>
      <c r="DS11" s="180"/>
      <c r="DT11" s="180"/>
      <c r="DU11" s="180"/>
      <c r="DV11" s="184" t="s">
        <v>41</v>
      </c>
      <c r="DW11" s="184"/>
      <c r="DX11" s="184"/>
      <c r="DY11" s="184"/>
      <c r="DZ11" s="184"/>
      <c r="EA11" s="184"/>
      <c r="EB11" s="184"/>
      <c r="EC11" s="184"/>
      <c r="ED11" s="184"/>
      <c r="EE11" s="184"/>
      <c r="EF11" s="184"/>
      <c r="EG11" s="184"/>
      <c r="EH11" s="184"/>
      <c r="EI11" s="184"/>
      <c r="EJ11" s="184"/>
      <c r="EK11" s="184"/>
      <c r="EL11" s="184"/>
      <c r="EM11" s="184"/>
      <c r="EN11" s="184"/>
      <c r="EO11" s="184"/>
      <c r="EP11" s="184"/>
      <c r="EQ11" s="184"/>
      <c r="ER11" s="184"/>
      <c r="ES11" s="184"/>
      <c r="ET11" s="184"/>
      <c r="EU11" s="184"/>
      <c r="EV11" s="184"/>
      <c r="EW11" s="184"/>
      <c r="EX11" s="184"/>
      <c r="EY11" s="184"/>
      <c r="EZ11" s="184"/>
      <c r="FA11" s="184"/>
      <c r="FB11" s="184"/>
      <c r="FC11" s="184"/>
      <c r="FD11" s="184"/>
      <c r="FE11" s="184"/>
      <c r="FF11" s="184"/>
      <c r="FG11" s="184"/>
      <c r="FH11" s="184"/>
      <c r="FI11" s="184"/>
      <c r="FJ11" s="184"/>
      <c r="FK11" s="184"/>
      <c r="FL11" s="184"/>
      <c r="FM11" s="184"/>
      <c r="FN11" s="184"/>
      <c r="FO11" s="184"/>
      <c r="FP11" s="184"/>
      <c r="FQ11" s="184"/>
      <c r="FR11" s="184"/>
      <c r="FS11" s="184"/>
      <c r="FT11" s="184"/>
      <c r="FU11" s="184"/>
      <c r="FV11" s="184"/>
      <c r="FW11" s="184"/>
      <c r="FX11" s="184"/>
      <c r="FY11" s="184"/>
      <c r="FZ11" s="184"/>
      <c r="GA11" s="184"/>
      <c r="GB11" s="184"/>
      <c r="GC11" s="184"/>
      <c r="GD11" s="184" t="s">
        <v>41</v>
      </c>
      <c r="GE11" s="184"/>
      <c r="GF11" s="184"/>
      <c r="GG11" s="184"/>
      <c r="GH11" s="184"/>
      <c r="GI11" s="184"/>
      <c r="GJ11" s="184"/>
      <c r="GK11" s="184"/>
      <c r="GL11" s="184"/>
      <c r="GM11" s="184"/>
      <c r="GN11" s="184"/>
      <c r="GO11" s="184"/>
      <c r="GP11" s="184"/>
      <c r="GQ11" s="184"/>
      <c r="GR11" s="184"/>
      <c r="GS11" s="184"/>
      <c r="GT11" s="184"/>
      <c r="GU11" s="184"/>
      <c r="GV11" s="184"/>
      <c r="GW11" s="184"/>
      <c r="GX11" s="184"/>
      <c r="GY11" s="184"/>
      <c r="GZ11" s="184"/>
      <c r="HA11" s="184"/>
      <c r="HB11" s="184"/>
      <c r="HC11" s="184"/>
      <c r="HD11" s="184"/>
      <c r="HE11" s="184"/>
      <c r="HF11" s="184"/>
      <c r="HG11" s="184"/>
      <c r="HH11" s="184"/>
      <c r="HI11" s="184"/>
      <c r="HJ11" s="184"/>
      <c r="HK11" s="184"/>
      <c r="HL11" s="184"/>
      <c r="HM11" s="184"/>
      <c r="HN11" s="184"/>
      <c r="HO11" s="184"/>
      <c r="HP11" s="184"/>
      <c r="HQ11" s="184"/>
      <c r="HR11" s="184"/>
      <c r="HS11" s="184"/>
      <c r="HT11" s="184"/>
      <c r="HU11" s="184"/>
      <c r="HV11" s="184"/>
      <c r="HW11" s="184"/>
      <c r="HX11" s="184"/>
      <c r="HY11" s="184"/>
      <c r="HZ11" s="184"/>
      <c r="IA11" s="184"/>
      <c r="IB11" s="184"/>
      <c r="IC11" s="184"/>
      <c r="ID11" s="184"/>
      <c r="IE11" s="184"/>
      <c r="IF11" s="184"/>
      <c r="IG11" s="184"/>
      <c r="IH11" s="184"/>
      <c r="II11" s="184"/>
      <c r="IJ11" s="184"/>
      <c r="IK11" s="184"/>
      <c r="IL11" s="90"/>
    </row>
    <row r="12" spans="1:246" ht="15.75" customHeight="1" thickBot="1" x14ac:dyDescent="0.3">
      <c r="B12" s="97"/>
      <c r="C12" s="178"/>
      <c r="D12" s="178"/>
      <c r="E12" s="178"/>
      <c r="F12" s="179">
        <v>44664</v>
      </c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K12" s="179"/>
      <c r="BL12" s="179"/>
      <c r="BM12" s="179"/>
      <c r="BN12" s="179">
        <v>44685</v>
      </c>
      <c r="BO12" s="179"/>
      <c r="BP12" s="179"/>
      <c r="BQ12" s="179"/>
      <c r="BR12" s="179"/>
      <c r="BS12" s="179"/>
      <c r="BT12" s="179"/>
      <c r="BU12" s="179"/>
      <c r="BV12" s="179"/>
      <c r="BW12" s="179"/>
      <c r="BX12" s="179"/>
      <c r="BY12" s="179"/>
      <c r="BZ12" s="179"/>
      <c r="CA12" s="179"/>
      <c r="CB12" s="179"/>
      <c r="CC12" s="179"/>
      <c r="CD12" s="179"/>
      <c r="CE12" s="179"/>
      <c r="CF12" s="179"/>
      <c r="CG12" s="179"/>
      <c r="CH12" s="179"/>
      <c r="CI12" s="179"/>
      <c r="CJ12" s="179"/>
      <c r="CK12" s="179"/>
      <c r="CL12" s="179"/>
      <c r="CM12" s="179"/>
      <c r="CN12" s="179"/>
      <c r="CO12" s="179"/>
      <c r="CP12" s="179"/>
      <c r="CQ12" s="179"/>
      <c r="CR12" s="179"/>
      <c r="CS12" s="179"/>
      <c r="CT12" s="179"/>
      <c r="CU12" s="179"/>
      <c r="CV12" s="179"/>
      <c r="CW12" s="179"/>
      <c r="CX12" s="179"/>
      <c r="CY12" s="179"/>
      <c r="CZ12" s="179"/>
      <c r="DA12" s="179"/>
      <c r="DB12" s="179"/>
      <c r="DC12" s="179"/>
      <c r="DD12" s="179"/>
      <c r="DE12" s="179"/>
      <c r="DF12" s="179"/>
      <c r="DG12" s="179"/>
      <c r="DH12" s="179"/>
      <c r="DI12" s="179"/>
      <c r="DJ12" s="179"/>
      <c r="DK12" s="179"/>
      <c r="DL12" s="179"/>
      <c r="DM12" s="179"/>
      <c r="DN12" s="179"/>
      <c r="DO12" s="179"/>
      <c r="DP12" s="179"/>
      <c r="DQ12" s="179"/>
      <c r="DR12" s="179"/>
      <c r="DS12" s="179"/>
      <c r="DT12" s="179"/>
      <c r="DU12" s="179"/>
      <c r="DV12" s="213">
        <v>44692</v>
      </c>
      <c r="DW12" s="185"/>
      <c r="DX12" s="185"/>
      <c r="DY12" s="185"/>
      <c r="DZ12" s="185"/>
      <c r="EA12" s="185"/>
      <c r="EB12" s="185"/>
      <c r="EC12" s="185"/>
      <c r="ED12" s="185"/>
      <c r="EE12" s="185"/>
      <c r="EF12" s="185"/>
      <c r="EG12" s="185"/>
      <c r="EH12" s="185"/>
      <c r="EI12" s="185"/>
      <c r="EJ12" s="185"/>
      <c r="EK12" s="185"/>
      <c r="EL12" s="185"/>
      <c r="EM12" s="185"/>
      <c r="EN12" s="185"/>
      <c r="EO12" s="185"/>
      <c r="EP12" s="185"/>
      <c r="EQ12" s="185"/>
      <c r="ER12" s="185"/>
      <c r="ES12" s="185"/>
      <c r="ET12" s="185"/>
      <c r="EU12" s="185"/>
      <c r="EV12" s="185"/>
      <c r="EW12" s="185"/>
      <c r="EX12" s="185"/>
      <c r="EY12" s="185"/>
      <c r="EZ12" s="185"/>
      <c r="FA12" s="185"/>
      <c r="FB12" s="185"/>
      <c r="FC12" s="185"/>
      <c r="FD12" s="185"/>
      <c r="FE12" s="185"/>
      <c r="FF12" s="185"/>
      <c r="FG12" s="185"/>
      <c r="FH12" s="185"/>
      <c r="FI12" s="185"/>
      <c r="FJ12" s="185"/>
      <c r="FK12" s="185"/>
      <c r="FL12" s="185"/>
      <c r="FM12" s="185"/>
      <c r="FN12" s="185"/>
      <c r="FO12" s="185"/>
      <c r="FP12" s="185"/>
      <c r="FQ12" s="185"/>
      <c r="FR12" s="185"/>
      <c r="FS12" s="185"/>
      <c r="FT12" s="185"/>
      <c r="FU12" s="185"/>
      <c r="FV12" s="185"/>
      <c r="FW12" s="185"/>
      <c r="FX12" s="185"/>
      <c r="FY12" s="185"/>
      <c r="FZ12" s="185"/>
      <c r="GA12" s="185"/>
      <c r="GB12" s="185"/>
      <c r="GC12" s="185"/>
      <c r="GD12" s="213">
        <v>44699</v>
      </c>
      <c r="GE12" s="185"/>
      <c r="GF12" s="185"/>
      <c r="GG12" s="185"/>
      <c r="GH12" s="185"/>
      <c r="GI12" s="185"/>
      <c r="GJ12" s="185"/>
      <c r="GK12" s="185"/>
      <c r="GL12" s="185"/>
      <c r="GM12" s="185"/>
      <c r="GN12" s="185"/>
      <c r="GO12" s="185"/>
      <c r="GP12" s="185"/>
      <c r="GQ12" s="185"/>
      <c r="GR12" s="185"/>
      <c r="GS12" s="185"/>
      <c r="GT12" s="185"/>
      <c r="GU12" s="185"/>
      <c r="GV12" s="185"/>
      <c r="GW12" s="185"/>
      <c r="GX12" s="185"/>
      <c r="GY12" s="185"/>
      <c r="GZ12" s="185"/>
      <c r="HA12" s="185"/>
      <c r="HB12" s="185"/>
      <c r="HC12" s="185"/>
      <c r="HD12" s="185"/>
      <c r="HE12" s="185"/>
      <c r="HF12" s="185"/>
      <c r="HG12" s="185"/>
      <c r="HH12" s="185"/>
      <c r="HI12" s="185"/>
      <c r="HJ12" s="185"/>
      <c r="HK12" s="185"/>
      <c r="HL12" s="185"/>
      <c r="HM12" s="185"/>
      <c r="HN12" s="185"/>
      <c r="HO12" s="185"/>
      <c r="HP12" s="185"/>
      <c r="HQ12" s="185"/>
      <c r="HR12" s="185"/>
      <c r="HS12" s="185"/>
      <c r="HT12" s="185"/>
      <c r="HU12" s="185"/>
      <c r="HV12" s="185"/>
      <c r="HW12" s="185"/>
      <c r="HX12" s="185"/>
      <c r="HY12" s="185"/>
      <c r="HZ12" s="185"/>
      <c r="IA12" s="185"/>
      <c r="IB12" s="185"/>
      <c r="IC12" s="185"/>
      <c r="ID12" s="185"/>
      <c r="IE12" s="185"/>
      <c r="IF12" s="185"/>
      <c r="IG12" s="185"/>
      <c r="IH12" s="185"/>
      <c r="II12" s="185"/>
      <c r="IJ12" s="185"/>
      <c r="IK12" s="185"/>
      <c r="IL12" s="90"/>
    </row>
    <row r="13" spans="1:246" ht="42.75" customHeight="1" thickBot="1" x14ac:dyDescent="0.3">
      <c r="B13" s="96"/>
      <c r="C13" s="173" t="s">
        <v>7</v>
      </c>
      <c r="D13" s="144"/>
      <c r="E13" s="175" t="s">
        <v>38</v>
      </c>
      <c r="F13" s="186" t="s">
        <v>8</v>
      </c>
      <c r="G13" s="187"/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  <c r="AE13" s="187"/>
      <c r="AF13" s="187"/>
      <c r="AG13" s="187"/>
      <c r="AH13" s="187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/>
      <c r="BC13" s="187"/>
      <c r="BD13" s="187"/>
      <c r="BE13" s="187"/>
      <c r="BF13" s="187"/>
      <c r="BG13" s="187"/>
      <c r="BH13" s="187"/>
      <c r="BI13" s="187"/>
      <c r="BJ13" s="187"/>
      <c r="BK13" s="187"/>
      <c r="BL13" s="187"/>
      <c r="BM13" s="188"/>
      <c r="BN13" s="186" t="s">
        <v>27</v>
      </c>
      <c r="BO13" s="187"/>
      <c r="BP13" s="187"/>
      <c r="BQ13" s="187"/>
      <c r="BR13" s="187"/>
      <c r="BS13" s="187"/>
      <c r="BT13" s="187"/>
      <c r="BU13" s="187"/>
      <c r="BV13" s="187"/>
      <c r="BW13" s="187"/>
      <c r="BX13" s="187"/>
      <c r="BY13" s="187"/>
      <c r="BZ13" s="187"/>
      <c r="CA13" s="187"/>
      <c r="CB13" s="187"/>
      <c r="CC13" s="187"/>
      <c r="CD13" s="187"/>
      <c r="CE13" s="187"/>
      <c r="CF13" s="187"/>
      <c r="CG13" s="187"/>
      <c r="CH13" s="187"/>
      <c r="CI13" s="187"/>
      <c r="CJ13" s="187"/>
      <c r="CK13" s="187"/>
      <c r="CL13" s="187"/>
      <c r="CM13" s="187"/>
      <c r="CN13" s="187"/>
      <c r="CO13" s="187"/>
      <c r="CP13" s="187"/>
      <c r="CQ13" s="187"/>
      <c r="CR13" s="187"/>
      <c r="CS13" s="187"/>
      <c r="CT13" s="187"/>
      <c r="CU13" s="187"/>
      <c r="CV13" s="187"/>
      <c r="CW13" s="187"/>
      <c r="CX13" s="187"/>
      <c r="CY13" s="187"/>
      <c r="CZ13" s="187"/>
      <c r="DA13" s="187"/>
      <c r="DB13" s="187"/>
      <c r="DC13" s="187"/>
      <c r="DD13" s="187"/>
      <c r="DE13" s="187"/>
      <c r="DF13" s="187"/>
      <c r="DG13" s="187"/>
      <c r="DH13" s="187"/>
      <c r="DI13" s="187"/>
      <c r="DJ13" s="187"/>
      <c r="DK13" s="187"/>
      <c r="DL13" s="187"/>
      <c r="DM13" s="187"/>
      <c r="DN13" s="187"/>
      <c r="DO13" s="187"/>
      <c r="DP13" s="187"/>
      <c r="DQ13" s="187"/>
      <c r="DR13" s="187"/>
      <c r="DS13" s="187"/>
      <c r="DT13" s="187"/>
      <c r="DU13" s="188"/>
      <c r="DV13" s="186" t="s">
        <v>18</v>
      </c>
      <c r="DW13" s="187"/>
      <c r="DX13" s="187"/>
      <c r="DY13" s="187"/>
      <c r="DZ13" s="187"/>
      <c r="EA13" s="187"/>
      <c r="EB13" s="187"/>
      <c r="EC13" s="187"/>
      <c r="ED13" s="187"/>
      <c r="EE13" s="187"/>
      <c r="EF13" s="187"/>
      <c r="EG13" s="187"/>
      <c r="EH13" s="187"/>
      <c r="EI13" s="187"/>
      <c r="EJ13" s="187"/>
      <c r="EK13" s="187"/>
      <c r="EL13" s="187"/>
      <c r="EM13" s="187"/>
      <c r="EN13" s="187"/>
      <c r="EO13" s="187"/>
      <c r="EP13" s="187"/>
      <c r="EQ13" s="187"/>
      <c r="ER13" s="187"/>
      <c r="ES13" s="187"/>
      <c r="ET13" s="187"/>
      <c r="EU13" s="187"/>
      <c r="EV13" s="187"/>
      <c r="EW13" s="187"/>
      <c r="EX13" s="187"/>
      <c r="EY13" s="187"/>
      <c r="EZ13" s="187"/>
      <c r="FA13" s="187"/>
      <c r="FB13" s="187"/>
      <c r="FC13" s="187"/>
      <c r="FD13" s="187"/>
      <c r="FE13" s="187"/>
      <c r="FF13" s="187"/>
      <c r="FG13" s="187"/>
      <c r="FH13" s="187"/>
      <c r="FI13" s="187"/>
      <c r="FJ13" s="187"/>
      <c r="FK13" s="187"/>
      <c r="FL13" s="187"/>
      <c r="FM13" s="187"/>
      <c r="FN13" s="187"/>
      <c r="FO13" s="187"/>
      <c r="FP13" s="187"/>
      <c r="FQ13" s="187"/>
      <c r="FR13" s="187"/>
      <c r="FS13" s="187"/>
      <c r="FT13" s="187"/>
      <c r="FU13" s="187"/>
      <c r="FV13" s="187"/>
      <c r="FW13" s="187"/>
      <c r="FX13" s="187"/>
      <c r="FY13" s="187"/>
      <c r="FZ13" s="187"/>
      <c r="GA13" s="187"/>
      <c r="GB13" s="187"/>
      <c r="GC13" s="188"/>
      <c r="GD13" s="186" t="s">
        <v>12</v>
      </c>
      <c r="GE13" s="187"/>
      <c r="GF13" s="187"/>
      <c r="GG13" s="187"/>
      <c r="GH13" s="187"/>
      <c r="GI13" s="187"/>
      <c r="GJ13" s="187"/>
      <c r="GK13" s="187"/>
      <c r="GL13" s="187"/>
      <c r="GM13" s="187"/>
      <c r="GN13" s="187"/>
      <c r="GO13" s="187"/>
      <c r="GP13" s="187"/>
      <c r="GQ13" s="187"/>
      <c r="GR13" s="187"/>
      <c r="GS13" s="187"/>
      <c r="GT13" s="187"/>
      <c r="GU13" s="187"/>
      <c r="GV13" s="187"/>
      <c r="GW13" s="187"/>
      <c r="GX13" s="187"/>
      <c r="GY13" s="187"/>
      <c r="GZ13" s="187"/>
      <c r="HA13" s="187"/>
      <c r="HB13" s="187"/>
      <c r="HC13" s="187"/>
      <c r="HD13" s="187"/>
      <c r="HE13" s="187"/>
      <c r="HF13" s="187"/>
      <c r="HG13" s="187"/>
      <c r="HH13" s="187"/>
      <c r="HI13" s="187"/>
      <c r="HJ13" s="187"/>
      <c r="HK13" s="187"/>
      <c r="HL13" s="187"/>
      <c r="HM13" s="187"/>
      <c r="HN13" s="187"/>
      <c r="HO13" s="187"/>
      <c r="HP13" s="187"/>
      <c r="HQ13" s="187"/>
      <c r="HR13" s="187"/>
      <c r="HS13" s="187"/>
      <c r="HT13" s="187"/>
      <c r="HU13" s="187"/>
      <c r="HV13" s="187"/>
      <c r="HW13" s="187"/>
      <c r="HX13" s="187"/>
      <c r="HY13" s="187"/>
      <c r="HZ13" s="187"/>
      <c r="IA13" s="187"/>
      <c r="IB13" s="187"/>
      <c r="IC13" s="187"/>
      <c r="ID13" s="187"/>
      <c r="IE13" s="187"/>
      <c r="IF13" s="187"/>
      <c r="IG13" s="187"/>
      <c r="IH13" s="187"/>
      <c r="II13" s="187"/>
      <c r="IJ13" s="187"/>
      <c r="IK13" s="188"/>
      <c r="IL13" s="90"/>
    </row>
    <row r="14" spans="1:246" ht="12.75" customHeight="1" thickBot="1" x14ac:dyDescent="0.35">
      <c r="B14" s="96"/>
      <c r="C14" s="174"/>
      <c r="D14" s="145"/>
      <c r="E14" s="176"/>
      <c r="F14" s="103"/>
      <c r="G14" s="104"/>
      <c r="H14" s="104"/>
      <c r="I14" s="104"/>
      <c r="J14" s="189" t="s">
        <v>33</v>
      </c>
      <c r="K14" s="189"/>
      <c r="L14" s="189"/>
      <c r="M14" s="189"/>
      <c r="N14" s="104"/>
      <c r="O14" s="104"/>
      <c r="P14" s="190" t="s">
        <v>23</v>
      </c>
      <c r="Q14" s="190"/>
      <c r="R14" s="190"/>
      <c r="S14" s="190"/>
      <c r="T14" s="129"/>
      <c r="U14" s="129"/>
      <c r="V14" s="189" t="s">
        <v>34</v>
      </c>
      <c r="W14" s="189"/>
      <c r="X14" s="189"/>
      <c r="Y14" s="189"/>
      <c r="Z14" s="104"/>
      <c r="AA14" s="104"/>
      <c r="AB14" s="190" t="s">
        <v>24</v>
      </c>
      <c r="AC14" s="190"/>
      <c r="AD14" s="190"/>
      <c r="AE14" s="190"/>
      <c r="AF14" s="129"/>
      <c r="AG14" s="129"/>
      <c r="AH14" s="189" t="s">
        <v>35</v>
      </c>
      <c r="AI14" s="189"/>
      <c r="AJ14" s="189"/>
      <c r="AK14" s="189"/>
      <c r="AL14" s="104"/>
      <c r="AM14" s="104"/>
      <c r="AN14" s="190" t="s">
        <v>25</v>
      </c>
      <c r="AO14" s="190"/>
      <c r="AP14" s="190"/>
      <c r="AQ14" s="190"/>
      <c r="AR14" s="129"/>
      <c r="AS14" s="129"/>
      <c r="AT14" s="189" t="s">
        <v>36</v>
      </c>
      <c r="AU14" s="189"/>
      <c r="AV14" s="189"/>
      <c r="AW14" s="189"/>
      <c r="AX14" s="104"/>
      <c r="AY14" s="104"/>
      <c r="AZ14" s="190" t="s">
        <v>26</v>
      </c>
      <c r="BA14" s="190"/>
      <c r="BB14" s="190"/>
      <c r="BC14" s="190"/>
      <c r="BD14" s="129"/>
      <c r="BE14" s="129"/>
      <c r="BF14" s="189" t="s">
        <v>37</v>
      </c>
      <c r="BG14" s="189"/>
      <c r="BH14" s="189"/>
      <c r="BI14" s="189"/>
      <c r="BJ14" s="104"/>
      <c r="BK14" s="104"/>
      <c r="BL14" s="104"/>
      <c r="BM14" s="105"/>
      <c r="BN14" s="103"/>
      <c r="BO14" s="104"/>
      <c r="BP14" s="104"/>
      <c r="BQ14" s="104"/>
      <c r="BR14" s="189" t="s">
        <v>33</v>
      </c>
      <c r="BS14" s="189"/>
      <c r="BT14" s="189"/>
      <c r="BU14" s="189"/>
      <c r="BV14" s="104"/>
      <c r="BW14" s="104"/>
      <c r="BX14" s="190" t="s">
        <v>23</v>
      </c>
      <c r="BY14" s="190"/>
      <c r="BZ14" s="190"/>
      <c r="CA14" s="190"/>
      <c r="CB14" s="129"/>
      <c r="CC14" s="129"/>
      <c r="CD14" s="189" t="s">
        <v>34</v>
      </c>
      <c r="CE14" s="189"/>
      <c r="CF14" s="189"/>
      <c r="CG14" s="189"/>
      <c r="CH14" s="104"/>
      <c r="CI14" s="104"/>
      <c r="CJ14" s="190" t="s">
        <v>24</v>
      </c>
      <c r="CK14" s="190"/>
      <c r="CL14" s="190"/>
      <c r="CM14" s="190"/>
      <c r="CN14" s="129"/>
      <c r="CO14" s="129"/>
      <c r="CP14" s="189" t="s">
        <v>35</v>
      </c>
      <c r="CQ14" s="189"/>
      <c r="CR14" s="189"/>
      <c r="CS14" s="189"/>
      <c r="CT14" s="104"/>
      <c r="CU14" s="104"/>
      <c r="CV14" s="190" t="s">
        <v>25</v>
      </c>
      <c r="CW14" s="190"/>
      <c r="CX14" s="190"/>
      <c r="CY14" s="190"/>
      <c r="CZ14" s="129"/>
      <c r="DA14" s="129"/>
      <c r="DB14" s="189" t="s">
        <v>36</v>
      </c>
      <c r="DC14" s="189"/>
      <c r="DD14" s="189"/>
      <c r="DE14" s="189"/>
      <c r="DF14" s="104"/>
      <c r="DG14" s="104"/>
      <c r="DH14" s="190" t="s">
        <v>26</v>
      </c>
      <c r="DI14" s="190"/>
      <c r="DJ14" s="190"/>
      <c r="DK14" s="190"/>
      <c r="DL14" s="129"/>
      <c r="DM14" s="129"/>
      <c r="DN14" s="189" t="s">
        <v>37</v>
      </c>
      <c r="DO14" s="189"/>
      <c r="DP14" s="189"/>
      <c r="DQ14" s="189"/>
      <c r="DR14" s="104"/>
      <c r="DS14" s="104"/>
      <c r="DT14" s="104"/>
      <c r="DU14" s="105"/>
      <c r="DV14" s="103"/>
      <c r="DW14" s="104"/>
      <c r="DX14" s="104"/>
      <c r="DY14" s="104"/>
      <c r="DZ14" s="189" t="s">
        <v>33</v>
      </c>
      <c r="EA14" s="189"/>
      <c r="EB14" s="189"/>
      <c r="EC14" s="189"/>
      <c r="ED14" s="104"/>
      <c r="EE14" s="104"/>
      <c r="EF14" s="190" t="s">
        <v>23</v>
      </c>
      <c r="EG14" s="190"/>
      <c r="EH14" s="190"/>
      <c r="EI14" s="190"/>
      <c r="EJ14" s="129"/>
      <c r="EK14" s="129"/>
      <c r="EL14" s="189" t="s">
        <v>34</v>
      </c>
      <c r="EM14" s="189"/>
      <c r="EN14" s="189"/>
      <c r="EO14" s="189"/>
      <c r="EP14" s="104"/>
      <c r="EQ14" s="104"/>
      <c r="ER14" s="190" t="s">
        <v>24</v>
      </c>
      <c r="ES14" s="190"/>
      <c r="ET14" s="190"/>
      <c r="EU14" s="190"/>
      <c r="EV14" s="129"/>
      <c r="EW14" s="129"/>
      <c r="EX14" s="189" t="s">
        <v>35</v>
      </c>
      <c r="EY14" s="189"/>
      <c r="EZ14" s="189"/>
      <c r="FA14" s="189"/>
      <c r="FB14" s="104"/>
      <c r="FC14" s="104"/>
      <c r="FD14" s="190" t="s">
        <v>25</v>
      </c>
      <c r="FE14" s="190"/>
      <c r="FF14" s="190"/>
      <c r="FG14" s="190"/>
      <c r="FH14" s="129"/>
      <c r="FI14" s="129"/>
      <c r="FJ14" s="189" t="s">
        <v>36</v>
      </c>
      <c r="FK14" s="189"/>
      <c r="FL14" s="189"/>
      <c r="FM14" s="189"/>
      <c r="FN14" s="104"/>
      <c r="FO14" s="104"/>
      <c r="FP14" s="190" t="s">
        <v>26</v>
      </c>
      <c r="FQ14" s="190"/>
      <c r="FR14" s="190"/>
      <c r="FS14" s="190"/>
      <c r="FT14" s="129"/>
      <c r="FU14" s="129"/>
      <c r="FV14" s="189" t="s">
        <v>37</v>
      </c>
      <c r="FW14" s="189"/>
      <c r="FX14" s="189"/>
      <c r="FY14" s="189"/>
      <c r="FZ14" s="104"/>
      <c r="GA14" s="104"/>
      <c r="GB14" s="104"/>
      <c r="GC14" s="105"/>
      <c r="GD14" s="103"/>
      <c r="GE14" s="104"/>
      <c r="GF14" s="104"/>
      <c r="GG14" s="104"/>
      <c r="GH14" s="189" t="s">
        <v>33</v>
      </c>
      <c r="GI14" s="189"/>
      <c r="GJ14" s="189"/>
      <c r="GK14" s="189"/>
      <c r="GL14" s="104"/>
      <c r="GM14" s="104"/>
      <c r="GN14" s="190" t="s">
        <v>23</v>
      </c>
      <c r="GO14" s="190"/>
      <c r="GP14" s="190"/>
      <c r="GQ14" s="190"/>
      <c r="GR14" s="129"/>
      <c r="GS14" s="129"/>
      <c r="GT14" s="189" t="s">
        <v>34</v>
      </c>
      <c r="GU14" s="189"/>
      <c r="GV14" s="189"/>
      <c r="GW14" s="189"/>
      <c r="GX14" s="104"/>
      <c r="GY14" s="104"/>
      <c r="GZ14" s="190" t="s">
        <v>24</v>
      </c>
      <c r="HA14" s="190"/>
      <c r="HB14" s="190"/>
      <c r="HC14" s="190"/>
      <c r="HD14" s="129"/>
      <c r="HE14" s="129"/>
      <c r="HF14" s="189" t="s">
        <v>35</v>
      </c>
      <c r="HG14" s="189"/>
      <c r="HH14" s="189"/>
      <c r="HI14" s="189"/>
      <c r="HJ14" s="104"/>
      <c r="HK14" s="104"/>
      <c r="HL14" s="190" t="s">
        <v>25</v>
      </c>
      <c r="HM14" s="190"/>
      <c r="HN14" s="190"/>
      <c r="HO14" s="190"/>
      <c r="HP14" s="129"/>
      <c r="HQ14" s="129"/>
      <c r="HR14" s="189" t="s">
        <v>36</v>
      </c>
      <c r="HS14" s="189"/>
      <c r="HT14" s="189"/>
      <c r="HU14" s="189"/>
      <c r="HV14" s="104"/>
      <c r="HW14" s="104"/>
      <c r="HX14" s="190" t="s">
        <v>26</v>
      </c>
      <c r="HY14" s="190"/>
      <c r="HZ14" s="190"/>
      <c r="IA14" s="190"/>
      <c r="IB14" s="129"/>
      <c r="IC14" s="129"/>
      <c r="ID14" s="189" t="s">
        <v>37</v>
      </c>
      <c r="IE14" s="189"/>
      <c r="IF14" s="189"/>
      <c r="IG14" s="189"/>
      <c r="IH14" s="104"/>
      <c r="II14" s="104"/>
      <c r="IJ14" s="104"/>
      <c r="IK14" s="105"/>
      <c r="IL14" s="90"/>
    </row>
    <row r="15" spans="1:24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169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90"/>
    </row>
    <row r="16" spans="1:246" ht="20.100000000000001" customHeight="1" x14ac:dyDescent="0.25">
      <c r="A16" s="100" t="s">
        <v>20</v>
      </c>
      <c r="B16" s="63" t="str">
        <f>IF(LEN(C17)=0,"",C17)</f>
        <v>Réalisation - Cahier des charges</v>
      </c>
      <c r="C16" s="170"/>
      <c r="D16" s="147" t="str">
        <f t="shared" ref="D16:D79" si="0">setValueToTime(E16)</f>
        <v>0h45min</v>
      </c>
      <c r="E16" s="35">
        <v>9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15"/>
      <c r="BO16" s="216"/>
      <c r="BP16" s="216"/>
      <c r="BQ16" s="216"/>
      <c r="BR16" s="217"/>
      <c r="BS16" s="218"/>
      <c r="BT16" s="217"/>
      <c r="BU16" s="217"/>
      <c r="BV16" s="217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90"/>
    </row>
    <row r="17" spans="1:246" ht="20.100000000000001" customHeight="1" x14ac:dyDescent="0.25">
      <c r="A17" s="100" t="s">
        <v>19</v>
      </c>
      <c r="B17" s="63" t="str">
        <f>IF(LEN(C19)=0,"",C19)</f>
        <v>Doc - Journal de travail</v>
      </c>
      <c r="C17" s="169" t="s">
        <v>45</v>
      </c>
      <c r="D17" s="146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90"/>
    </row>
    <row r="18" spans="1:246" ht="20.100000000000001" customHeight="1" x14ac:dyDescent="0.3">
      <c r="A18" s="100" t="s">
        <v>20</v>
      </c>
      <c r="B18" s="63" t="str">
        <f>IF(LEN(C21)=0,"",C21)</f>
        <v>Git - Créer le repository et paramètrer</v>
      </c>
      <c r="C18" s="170"/>
      <c r="D18" s="148" t="str">
        <f t="shared" si="0"/>
        <v>4h</v>
      </c>
      <c r="E18" s="35">
        <v>48</v>
      </c>
      <c r="F18" s="219"/>
      <c r="G18" s="220"/>
      <c r="H18" s="220"/>
      <c r="I18" s="220"/>
      <c r="J18" s="221"/>
      <c r="K18" s="222"/>
      <c r="L18" s="221"/>
      <c r="M18" s="221"/>
      <c r="N18" s="221"/>
      <c r="O18" s="221"/>
      <c r="P18" s="221"/>
      <c r="Q18" s="223"/>
      <c r="R18" s="221"/>
      <c r="S18" s="221"/>
      <c r="T18" s="221"/>
      <c r="U18" s="221"/>
      <c r="V18" s="221"/>
      <c r="W18" s="224"/>
      <c r="X18" s="221"/>
      <c r="Y18" s="221"/>
      <c r="Z18" s="221"/>
      <c r="AA18" s="221"/>
      <c r="AB18" s="221"/>
      <c r="AC18" s="223"/>
      <c r="AD18" s="221"/>
      <c r="AE18" s="221"/>
      <c r="AF18" s="221"/>
      <c r="AG18" s="221"/>
      <c r="AH18" s="221"/>
      <c r="AI18" s="224"/>
      <c r="AJ18" s="220"/>
      <c r="AK18" s="220"/>
      <c r="AL18" s="220"/>
      <c r="AM18" s="220"/>
      <c r="AN18" s="221"/>
      <c r="AO18" s="223"/>
      <c r="AP18" s="221"/>
      <c r="AQ18" s="221"/>
      <c r="AR18" s="221"/>
      <c r="AS18" s="221"/>
      <c r="AT18" s="221"/>
      <c r="AU18" s="224"/>
      <c r="AV18" s="221"/>
      <c r="AW18" s="221"/>
      <c r="AX18" s="221"/>
      <c r="AY18" s="221"/>
      <c r="AZ18" s="221"/>
      <c r="BA18" s="223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90"/>
    </row>
    <row r="19" spans="1:246" ht="20.100000000000001" customHeight="1" x14ac:dyDescent="0.25">
      <c r="A19" s="100" t="s">
        <v>19</v>
      </c>
      <c r="B19" s="63" t="str">
        <f>IF(LEN(C23)=0,"",C23)</f>
        <v/>
      </c>
      <c r="C19" s="169" t="s">
        <v>16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90"/>
    </row>
    <row r="20" spans="1:246" ht="20.100000000000001" customHeight="1" x14ac:dyDescent="0.25">
      <c r="A20" s="100" t="s">
        <v>20</v>
      </c>
      <c r="B20" s="63" t="str">
        <f>IF(LEN(C25)=0,"",C25)</f>
        <v/>
      </c>
      <c r="C20" s="171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90"/>
    </row>
    <row r="21" spans="1:246" ht="20.100000000000001" customHeight="1" x14ac:dyDescent="0.25">
      <c r="A21" s="100" t="s">
        <v>19</v>
      </c>
      <c r="B21" s="63" t="str">
        <f>IF(LEN(C27)=0,"",C27)</f>
        <v/>
      </c>
      <c r="C21" s="169" t="s">
        <v>46</v>
      </c>
      <c r="D21" s="146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90"/>
    </row>
    <row r="22" spans="1:246" ht="20.100000000000001" customHeight="1" x14ac:dyDescent="0.25">
      <c r="A22" s="100" t="s">
        <v>20</v>
      </c>
      <c r="B22" s="63" t="str">
        <f>IF(LEN(C29)=0,"",C29)</f>
        <v/>
      </c>
      <c r="C22" s="171"/>
      <c r="D22" s="147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90"/>
    </row>
    <row r="23" spans="1:246" ht="20.100000000000001" customHeight="1" x14ac:dyDescent="0.25">
      <c r="A23" s="100" t="s">
        <v>19</v>
      </c>
      <c r="B23" s="63" t="str">
        <f>IF(LEN(C31)=0,"",C31)</f>
        <v/>
      </c>
      <c r="C23" s="169"/>
      <c r="D23" s="146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90"/>
    </row>
    <row r="24" spans="1:246" ht="20.100000000000001" customHeight="1" x14ac:dyDescent="0.25">
      <c r="A24" s="100" t="s">
        <v>20</v>
      </c>
      <c r="B24" s="63" t="str">
        <f>IF(LEN(C33)=0,"",C33)</f>
        <v/>
      </c>
      <c r="C24" s="171"/>
      <c r="D24" s="147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90"/>
    </row>
    <row r="25" spans="1:246" ht="20.100000000000001" customHeight="1" x14ac:dyDescent="0.25">
      <c r="A25" s="100" t="s">
        <v>19</v>
      </c>
      <c r="B25" s="63" t="str">
        <f>IF(LEN(C35)=0,"",C35)</f>
        <v/>
      </c>
      <c r="C25" s="169"/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90"/>
    </row>
    <row r="26" spans="1:246" ht="20.100000000000001" customHeight="1" x14ac:dyDescent="0.3">
      <c r="A26" s="100" t="s">
        <v>20</v>
      </c>
      <c r="B26" s="63" t="str">
        <f>IF(LEN(C37)=0,"",C37)</f>
        <v/>
      </c>
      <c r="C26" s="170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90"/>
    </row>
    <row r="27" spans="1:246" ht="20.100000000000001" customHeight="1" x14ac:dyDescent="0.25">
      <c r="A27" s="100" t="s">
        <v>19</v>
      </c>
      <c r="B27" s="63" t="str">
        <f>IF(LEN(C39)=0,"",C39)</f>
        <v/>
      </c>
      <c r="C27" s="169"/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90"/>
    </row>
    <row r="28" spans="1:246" ht="20.100000000000001" customHeight="1" x14ac:dyDescent="0.3">
      <c r="A28" s="100" t="s">
        <v>20</v>
      </c>
      <c r="B28" s="63" t="str">
        <f>IF(LEN(C41)=0,"",C41)</f>
        <v/>
      </c>
      <c r="C28" s="170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90"/>
    </row>
    <row r="29" spans="1:246" ht="20.100000000000001" customHeight="1" x14ac:dyDescent="0.25">
      <c r="A29" s="100" t="s">
        <v>19</v>
      </c>
      <c r="B29" s="63" t="str">
        <f>IF(LEN(C43)=0,"",C43)</f>
        <v/>
      </c>
      <c r="C29" s="169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90"/>
    </row>
    <row r="30" spans="1:246" ht="20.100000000000001" customHeight="1" x14ac:dyDescent="0.3">
      <c r="A30" s="100" t="s">
        <v>20</v>
      </c>
      <c r="B30" s="63" t="str">
        <f>IF(LEN(C45)=0,"",C45)</f>
        <v/>
      </c>
      <c r="C30" s="170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90"/>
    </row>
    <row r="31" spans="1:246" ht="20.100000000000001" customHeight="1" x14ac:dyDescent="0.25">
      <c r="A31" s="100" t="s">
        <v>19</v>
      </c>
      <c r="B31" s="63" t="str">
        <f>IF(LEN(C47)=0,"",C47)</f>
        <v/>
      </c>
      <c r="C31" s="169"/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90"/>
    </row>
    <row r="32" spans="1:246" ht="20.100000000000001" customHeight="1" x14ac:dyDescent="0.3">
      <c r="A32" s="100" t="s">
        <v>20</v>
      </c>
      <c r="B32" s="63" t="str">
        <f>IF(LEN(C49)=0,"",C49)</f>
        <v/>
      </c>
      <c r="C32" s="170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90"/>
    </row>
    <row r="33" spans="1:246" ht="20.100000000000001" customHeight="1" x14ac:dyDescent="0.25">
      <c r="A33" s="100" t="s">
        <v>19</v>
      </c>
      <c r="B33" s="63" t="str">
        <f>IF(LEN(C51)=0,"",C51)</f>
        <v/>
      </c>
      <c r="C33" s="169"/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90"/>
    </row>
    <row r="34" spans="1:246" ht="20.100000000000001" customHeight="1" x14ac:dyDescent="0.3">
      <c r="A34" s="100" t="s">
        <v>20</v>
      </c>
      <c r="B34" s="63" t="str">
        <f>IF(LEN(C53)=0,"",C53)</f>
        <v/>
      </c>
      <c r="C34" s="170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90"/>
    </row>
    <row r="35" spans="1:246" ht="20.100000000000001" customHeight="1" x14ac:dyDescent="0.25">
      <c r="A35" s="100" t="s">
        <v>19</v>
      </c>
      <c r="B35" s="63" t="str">
        <f>IF(LEN(C55)=0,"",C55)</f>
        <v/>
      </c>
      <c r="C35" s="169"/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90"/>
    </row>
    <row r="36" spans="1:246" ht="20.100000000000001" customHeight="1" x14ac:dyDescent="0.25">
      <c r="A36" s="100" t="s">
        <v>20</v>
      </c>
      <c r="B36" s="63" t="str">
        <f>IF(LEN(C57)=0,"",C57)</f>
        <v/>
      </c>
      <c r="C36" s="171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90"/>
    </row>
    <row r="37" spans="1:246" ht="20.100000000000001" customHeight="1" x14ac:dyDescent="0.25">
      <c r="A37" s="100" t="s">
        <v>19</v>
      </c>
      <c r="B37" s="63" t="str">
        <f>IF(LEN(C59)=0,"",C59)</f>
        <v/>
      </c>
      <c r="C37" s="169"/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90"/>
    </row>
    <row r="38" spans="1:246" ht="20.100000000000001" customHeight="1" x14ac:dyDescent="0.3">
      <c r="A38" s="100" t="s">
        <v>20</v>
      </c>
      <c r="B38" s="63" t="str">
        <f>IF(LEN(C61)=0,"",C61)</f>
        <v/>
      </c>
      <c r="C38" s="170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90"/>
    </row>
    <row r="39" spans="1:246" ht="20.100000000000001" customHeight="1" x14ac:dyDescent="0.25">
      <c r="A39" s="100" t="s">
        <v>19</v>
      </c>
      <c r="B39" s="63" t="str">
        <f>IF(LEN(C63)=0,"",C63)</f>
        <v/>
      </c>
      <c r="C39" s="169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90"/>
    </row>
    <row r="40" spans="1:246" ht="20.100000000000001" customHeight="1" x14ac:dyDescent="0.25">
      <c r="A40" s="100" t="s">
        <v>20</v>
      </c>
      <c r="B40" s="63" t="str">
        <f>IF(LEN(C65)=0,"",C65)</f>
        <v/>
      </c>
      <c r="C40" s="171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90"/>
    </row>
    <row r="41" spans="1:246" ht="20.100000000000001" customHeight="1" x14ac:dyDescent="0.25">
      <c r="A41" s="100" t="s">
        <v>19</v>
      </c>
      <c r="B41" s="63" t="str">
        <f>IF(LEN(C67)=0,"",C67)</f>
        <v/>
      </c>
      <c r="C41" s="169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90"/>
    </row>
    <row r="42" spans="1:246" ht="20.100000000000001" customHeight="1" x14ac:dyDescent="0.3">
      <c r="A42" s="100" t="s">
        <v>20</v>
      </c>
      <c r="B42" s="63" t="str">
        <f>IF(LEN(C69)=0,"",C69)</f>
        <v/>
      </c>
      <c r="C42" s="170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90"/>
    </row>
    <row r="43" spans="1:246" ht="20.100000000000001" customHeight="1" x14ac:dyDescent="0.25">
      <c r="A43" s="100" t="s">
        <v>19</v>
      </c>
      <c r="B43" s="63" t="str">
        <f>IF(LEN(C71)=0,"",C71)</f>
        <v/>
      </c>
      <c r="C43" s="169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90"/>
    </row>
    <row r="44" spans="1:246" ht="20.100000000000001" customHeight="1" x14ac:dyDescent="0.3">
      <c r="A44" s="100" t="s">
        <v>20</v>
      </c>
      <c r="B44" s="63" t="str">
        <f>IF(LEN(C73)=0,"",C73)</f>
        <v/>
      </c>
      <c r="C44" s="170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90"/>
    </row>
    <row r="45" spans="1:246" ht="20.100000000000001" customHeight="1" x14ac:dyDescent="0.25">
      <c r="A45" s="100" t="s">
        <v>19</v>
      </c>
      <c r="B45" s="63" t="str">
        <f>IF(LEN(C75)=0,"",C75)</f>
        <v/>
      </c>
      <c r="C45" s="169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90"/>
    </row>
    <row r="46" spans="1:246" ht="20.100000000000001" customHeight="1" x14ac:dyDescent="0.25">
      <c r="A46" s="100" t="s">
        <v>20</v>
      </c>
      <c r="B46" s="63" t="str">
        <f>IF(LEN(C77)=0,"",C77)</f>
        <v/>
      </c>
      <c r="C46" s="171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90"/>
    </row>
    <row r="47" spans="1:246" ht="20.100000000000001" customHeight="1" x14ac:dyDescent="0.25">
      <c r="A47" s="100" t="s">
        <v>19</v>
      </c>
      <c r="B47" s="63" t="str">
        <f>IF(LEN(C79)=0,"",C79)</f>
        <v/>
      </c>
      <c r="C47" s="169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90"/>
    </row>
    <row r="48" spans="1:246" ht="20.100000000000001" customHeight="1" x14ac:dyDescent="0.3">
      <c r="A48" s="100" t="s">
        <v>20</v>
      </c>
      <c r="B48" s="63" t="str">
        <f>IF(LEN(C81)=0,"",C81)</f>
        <v/>
      </c>
      <c r="C48" s="170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90"/>
    </row>
    <row r="49" spans="1:246" ht="20.100000000000001" customHeight="1" x14ac:dyDescent="0.25">
      <c r="A49" s="100" t="s">
        <v>19</v>
      </c>
      <c r="B49" s="63" t="str">
        <f>IF(LEN(C83)=0,"",C83)</f>
        <v/>
      </c>
      <c r="C49" s="169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90"/>
    </row>
    <row r="50" spans="1:246" ht="20.100000000000001" customHeight="1" x14ac:dyDescent="0.3">
      <c r="A50" s="100" t="s">
        <v>20</v>
      </c>
      <c r="B50" s="63" t="str">
        <f>IF(LEN(C85)=0,"",C85)</f>
        <v/>
      </c>
      <c r="C50" s="170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90"/>
    </row>
    <row r="51" spans="1:246" ht="20.100000000000001" customHeight="1" x14ac:dyDescent="0.25">
      <c r="A51" s="100" t="s">
        <v>19</v>
      </c>
      <c r="B51" s="63" t="str">
        <f>IF(LEN(C87)=0,"",C87)</f>
        <v/>
      </c>
      <c r="C51" s="169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90"/>
    </row>
    <row r="52" spans="1:246" ht="20.100000000000001" customHeight="1" x14ac:dyDescent="0.25">
      <c r="A52" s="100" t="s">
        <v>20</v>
      </c>
      <c r="B52" s="63" t="str">
        <f>IF(LEN(C89)=0,"",C89)</f>
        <v/>
      </c>
      <c r="C52" s="171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90"/>
    </row>
    <row r="53" spans="1:246" ht="20.100000000000001" customHeight="1" x14ac:dyDescent="0.25">
      <c r="A53" s="100" t="s">
        <v>19</v>
      </c>
      <c r="B53" s="63" t="str">
        <f>IF(LEN(C91)=0,"",C91)</f>
        <v/>
      </c>
      <c r="C53" s="169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90"/>
    </row>
    <row r="54" spans="1:246" ht="20.100000000000001" customHeight="1" x14ac:dyDescent="0.3">
      <c r="A54" s="100" t="s">
        <v>20</v>
      </c>
      <c r="B54" s="63" t="str">
        <f>IF(LEN(C93)=0,"",C93)</f>
        <v/>
      </c>
      <c r="C54" s="170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90"/>
    </row>
    <row r="55" spans="1:246" ht="20.100000000000001" customHeight="1" x14ac:dyDescent="0.25">
      <c r="A55" s="100" t="s">
        <v>19</v>
      </c>
      <c r="B55" s="63"/>
      <c r="C55" s="169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90"/>
    </row>
    <row r="56" spans="1:246" ht="20.100000000000001" customHeight="1" x14ac:dyDescent="0.25">
      <c r="A56" s="100" t="s">
        <v>20</v>
      </c>
      <c r="B56" s="63"/>
      <c r="C56" s="171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90"/>
    </row>
    <row r="57" spans="1:246" ht="20.100000000000001" customHeight="1" x14ac:dyDescent="0.25">
      <c r="A57" s="100" t="s">
        <v>19</v>
      </c>
      <c r="B57" s="63"/>
      <c r="C57" s="169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90"/>
    </row>
    <row r="58" spans="1:246" ht="20.100000000000001" customHeight="1" x14ac:dyDescent="0.3">
      <c r="A58" s="100" t="s">
        <v>20</v>
      </c>
      <c r="B58" s="63"/>
      <c r="C58" s="170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90"/>
    </row>
    <row r="59" spans="1:246" ht="20.100000000000001" customHeight="1" x14ac:dyDescent="0.25">
      <c r="A59" s="100" t="s">
        <v>19</v>
      </c>
      <c r="B59" s="63"/>
      <c r="C59" s="169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90"/>
    </row>
    <row r="60" spans="1:246" ht="20.100000000000001" customHeight="1" x14ac:dyDescent="0.3">
      <c r="A60" s="100" t="s">
        <v>20</v>
      </c>
      <c r="B60" s="63"/>
      <c r="C60" s="170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90"/>
    </row>
    <row r="61" spans="1:246" ht="20.100000000000001" customHeight="1" x14ac:dyDescent="0.25">
      <c r="A61" s="100" t="s">
        <v>19</v>
      </c>
      <c r="B61" s="63"/>
      <c r="C61" s="169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90"/>
    </row>
    <row r="62" spans="1:246" ht="20.100000000000001" customHeight="1" x14ac:dyDescent="0.25">
      <c r="A62" s="100" t="s">
        <v>20</v>
      </c>
      <c r="B62" s="63"/>
      <c r="C62" s="171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90"/>
    </row>
    <row r="63" spans="1:246" ht="20.100000000000001" customHeight="1" x14ac:dyDescent="0.25">
      <c r="A63" s="100" t="s">
        <v>19</v>
      </c>
      <c r="B63" s="63"/>
      <c r="C63" s="169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90"/>
    </row>
    <row r="64" spans="1:246" ht="20.100000000000001" customHeight="1" x14ac:dyDescent="0.3">
      <c r="A64" s="100" t="s">
        <v>20</v>
      </c>
      <c r="B64" s="63"/>
      <c r="C64" s="170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90"/>
    </row>
    <row r="65" spans="1:246" ht="20.100000000000001" customHeight="1" x14ac:dyDescent="0.25">
      <c r="A65" s="100" t="s">
        <v>19</v>
      </c>
      <c r="B65" s="63"/>
      <c r="C65" s="169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90"/>
    </row>
    <row r="66" spans="1:246" ht="20.100000000000001" customHeight="1" x14ac:dyDescent="0.3">
      <c r="A66" s="100" t="s">
        <v>20</v>
      </c>
      <c r="B66" s="63"/>
      <c r="C66" s="170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90"/>
    </row>
    <row r="67" spans="1:246" ht="20.100000000000001" customHeight="1" x14ac:dyDescent="0.25">
      <c r="A67" s="100" t="s">
        <v>19</v>
      </c>
      <c r="B67" s="63"/>
      <c r="C67" s="169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90"/>
    </row>
    <row r="68" spans="1:246" ht="20.100000000000001" customHeight="1" x14ac:dyDescent="0.25">
      <c r="A68" s="100" t="s">
        <v>20</v>
      </c>
      <c r="B68" s="63"/>
      <c r="C68" s="171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90"/>
    </row>
    <row r="69" spans="1:246" ht="20.100000000000001" customHeight="1" x14ac:dyDescent="0.25">
      <c r="A69" s="100" t="s">
        <v>19</v>
      </c>
      <c r="B69" s="63"/>
      <c r="C69" s="169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90"/>
    </row>
    <row r="70" spans="1:246" ht="20.100000000000001" customHeight="1" x14ac:dyDescent="0.3">
      <c r="A70" s="100" t="s">
        <v>20</v>
      </c>
      <c r="B70" s="63"/>
      <c r="C70" s="170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90"/>
    </row>
    <row r="71" spans="1:246" ht="20.100000000000001" customHeight="1" x14ac:dyDescent="0.25">
      <c r="A71" s="100" t="s">
        <v>19</v>
      </c>
      <c r="B71" s="63"/>
      <c r="C71" s="169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90"/>
    </row>
    <row r="72" spans="1:246" ht="20.100000000000001" customHeight="1" x14ac:dyDescent="0.25">
      <c r="A72" s="100" t="s">
        <v>20</v>
      </c>
      <c r="B72" s="63"/>
      <c r="C72" s="171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90"/>
    </row>
    <row r="73" spans="1:246" ht="20.100000000000001" customHeight="1" x14ac:dyDescent="0.25">
      <c r="A73" s="100" t="s">
        <v>19</v>
      </c>
      <c r="B73" s="63"/>
      <c r="C73" s="169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90"/>
    </row>
    <row r="74" spans="1:246" ht="20.100000000000001" customHeight="1" x14ac:dyDescent="0.3">
      <c r="A74" s="100" t="s">
        <v>20</v>
      </c>
      <c r="B74" s="63"/>
      <c r="C74" s="170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90"/>
    </row>
    <row r="75" spans="1:246" ht="20.100000000000001" customHeight="1" x14ac:dyDescent="0.25">
      <c r="A75" s="100" t="s">
        <v>19</v>
      </c>
      <c r="B75" s="63"/>
      <c r="C75" s="169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90"/>
    </row>
    <row r="76" spans="1:246" ht="20.100000000000001" customHeight="1" x14ac:dyDescent="0.3">
      <c r="A76" s="100" t="s">
        <v>20</v>
      </c>
      <c r="B76" s="63"/>
      <c r="C76" s="170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90"/>
    </row>
    <row r="77" spans="1:246" ht="20.100000000000001" customHeight="1" x14ac:dyDescent="0.25">
      <c r="A77" s="100" t="s">
        <v>19</v>
      </c>
      <c r="B77" s="63"/>
      <c r="C77" s="169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90"/>
    </row>
    <row r="78" spans="1:246" ht="20.100000000000001" customHeight="1" x14ac:dyDescent="0.25">
      <c r="A78" s="100" t="s">
        <v>20</v>
      </c>
      <c r="B78" s="63"/>
      <c r="C78" s="171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90"/>
    </row>
    <row r="79" spans="1:246" ht="20.100000000000001" customHeight="1" x14ac:dyDescent="0.25">
      <c r="A79" s="100" t="s">
        <v>19</v>
      </c>
      <c r="B79" s="63"/>
      <c r="C79" s="169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90"/>
    </row>
    <row r="80" spans="1:246" ht="20.100000000000001" customHeight="1" x14ac:dyDescent="0.3">
      <c r="A80" s="100" t="s">
        <v>20</v>
      </c>
      <c r="B80" s="63"/>
      <c r="C80" s="170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90"/>
    </row>
    <row r="81" spans="1:246" ht="20.100000000000001" customHeight="1" x14ac:dyDescent="0.25">
      <c r="A81" s="100" t="s">
        <v>19</v>
      </c>
      <c r="B81" s="63"/>
      <c r="C81" s="169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90"/>
    </row>
    <row r="82" spans="1:246" ht="20.100000000000001" customHeight="1" x14ac:dyDescent="0.3">
      <c r="A82" s="100" t="s">
        <v>20</v>
      </c>
      <c r="B82" s="63"/>
      <c r="C82" s="170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90"/>
    </row>
    <row r="83" spans="1:246" ht="20.100000000000001" customHeight="1" x14ac:dyDescent="0.25">
      <c r="A83" s="100" t="s">
        <v>19</v>
      </c>
      <c r="B83" s="63"/>
      <c r="C83" s="169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90"/>
    </row>
    <row r="84" spans="1:246" ht="20.100000000000001" customHeight="1" x14ac:dyDescent="0.25">
      <c r="A84" s="100" t="s">
        <v>20</v>
      </c>
      <c r="B84" s="63"/>
      <c r="C84" s="171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90"/>
    </row>
    <row r="85" spans="1:246" ht="20.100000000000001" customHeight="1" x14ac:dyDescent="0.25">
      <c r="A85" s="100" t="s">
        <v>19</v>
      </c>
      <c r="B85" s="63"/>
      <c r="C85" s="169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90"/>
    </row>
    <row r="86" spans="1:246" ht="20.100000000000001" customHeight="1" x14ac:dyDescent="0.3">
      <c r="A86" s="100" t="s">
        <v>20</v>
      </c>
      <c r="B86" s="63"/>
      <c r="C86" s="170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90"/>
    </row>
    <row r="87" spans="1:246" ht="20.100000000000001" customHeight="1" x14ac:dyDescent="0.25">
      <c r="A87" s="100" t="s">
        <v>19</v>
      </c>
      <c r="B87" s="63"/>
      <c r="C87" s="169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90"/>
    </row>
    <row r="88" spans="1:246" ht="20.100000000000001" customHeight="1" x14ac:dyDescent="0.25">
      <c r="A88" s="100" t="s">
        <v>20</v>
      </c>
      <c r="B88" s="63"/>
      <c r="C88" s="171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90"/>
    </row>
    <row r="89" spans="1:246" ht="20.100000000000001" customHeight="1" x14ac:dyDescent="0.25">
      <c r="A89" s="100" t="s">
        <v>19</v>
      </c>
      <c r="B89" s="63"/>
      <c r="C89" s="169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90"/>
    </row>
    <row r="90" spans="1:246" ht="20.100000000000001" customHeight="1" x14ac:dyDescent="0.3">
      <c r="A90" s="100" t="s">
        <v>20</v>
      </c>
      <c r="B90" s="63"/>
      <c r="C90" s="170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90"/>
    </row>
    <row r="91" spans="1:246" ht="20.100000000000001" customHeight="1" x14ac:dyDescent="0.25">
      <c r="A91" s="100" t="s">
        <v>19</v>
      </c>
      <c r="B91" s="63"/>
      <c r="C91" s="169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90"/>
    </row>
    <row r="92" spans="1:246" ht="20.100000000000001" customHeight="1" x14ac:dyDescent="0.3">
      <c r="A92" s="100" t="s">
        <v>20</v>
      </c>
      <c r="B92" s="63"/>
      <c r="C92" s="170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90"/>
    </row>
    <row r="93" spans="1:246" ht="20.100000000000001" customHeight="1" x14ac:dyDescent="0.25">
      <c r="A93" s="100" t="s">
        <v>19</v>
      </c>
      <c r="B93" s="63"/>
      <c r="C93" s="169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90"/>
    </row>
    <row r="94" spans="1:246" ht="20.100000000000001" customHeight="1" x14ac:dyDescent="0.25">
      <c r="A94" s="100" t="s">
        <v>20</v>
      </c>
      <c r="B94" s="63"/>
      <c r="C94" s="171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90"/>
    </row>
    <row r="95" spans="1:246" ht="20.100000000000001" customHeight="1" x14ac:dyDescent="0.25">
      <c r="B95" s="96"/>
      <c r="C95" s="191" t="s">
        <v>9</v>
      </c>
      <c r="D95" s="192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90"/>
    </row>
    <row r="96" spans="1:246" ht="20.100000000000001" customHeight="1" thickBot="1" x14ac:dyDescent="0.3">
      <c r="B96" s="96"/>
      <c r="C96" s="193"/>
      <c r="D96" s="194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90"/>
    </row>
    <row r="97" spans="2:246" ht="20.100000000000001" customHeight="1" x14ac:dyDescent="0.25">
      <c r="B97" s="96"/>
      <c r="C97" s="195" t="s">
        <v>10</v>
      </c>
      <c r="D97" s="196"/>
      <c r="E97" s="118">
        <f>SUM(E16,E18,E20,E22,E24,E26,E28,E30,E32,E34,E36,E38,E40,E42,E44,E46,E48,E50,E52,E54,E56,E58,E60,E62,E64,E66,E68,E70,E72,E74,E76,E78,E80,E82,E84,E86,E88,E90,E92,E94)</f>
        <v>57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24"/>
    </row>
    <row r="98" spans="2:246" ht="20.100000000000001" customHeight="1" thickBot="1" x14ac:dyDescent="0.3">
      <c r="B98" s="96"/>
      <c r="C98" s="197"/>
      <c r="D98" s="198"/>
      <c r="E98" s="122" t="str">
        <f xml:space="preserve"> setValueToTime(E97)</f>
        <v>4h45min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90"/>
    </row>
    <row r="99" spans="2:24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91"/>
    </row>
  </sheetData>
  <sheetProtection insertRows="0" insertHyperlinks="0" selectLockedCells="1"/>
  <mergeCells count="102">
    <mergeCell ref="ID14:IG14"/>
    <mergeCell ref="FP14:FS14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N13:DU13"/>
    <mergeCell ref="BR14:BU14"/>
    <mergeCell ref="BX14:CA14"/>
    <mergeCell ref="CD14:CG14"/>
    <mergeCell ref="CJ14:CM14"/>
    <mergeCell ref="DH14:DK14"/>
    <mergeCell ref="DN14:DQ14"/>
    <mergeCell ref="C17:C18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49"/>
  <sheetViews>
    <sheetView showGridLines="0" zoomScaleNormal="100" zoomScaleSheetLayoutView="98" workbookViewId="0">
      <pane ySplit="1" topLeftCell="A2" activePane="bottomLeft" state="frozen"/>
      <selection pane="bottomLeft" activeCell="F2" sqref="F2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2.8554687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4</v>
      </c>
      <c r="C2" s="164"/>
      <c r="D2" s="157" t="s">
        <v>15</v>
      </c>
      <c r="E2" s="158">
        <v>44699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39</v>
      </c>
      <c r="C3" s="160"/>
      <c r="D3" s="78" t="s">
        <v>13</v>
      </c>
      <c r="E3" s="211" t="s">
        <v>14</v>
      </c>
      <c r="F3" s="212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07"/>
      <c r="F4" s="208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01"/>
      <c r="F5" s="20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1"/>
      <c r="F6" s="202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01"/>
      <c r="F7" s="20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1"/>
      <c r="F8" s="20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1"/>
      <c r="F9" s="20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01"/>
      <c r="F10" s="20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03"/>
      <c r="F11" s="204"/>
      <c r="G11" s="51"/>
    </row>
    <row r="12" spans="1:7" s="52" customFormat="1" ht="15" thickBot="1" x14ac:dyDescent="0.35">
      <c r="A12" s="162" t="s">
        <v>28</v>
      </c>
      <c r="B12" s="83">
        <f>SUM(B4:B11)</f>
        <v>0</v>
      </c>
      <c r="C12" s="162" t="str">
        <f xml:space="preserve"> setValueToTime(B12)</f>
        <v>0h</v>
      </c>
      <c r="D12" s="121"/>
      <c r="E12" s="209"/>
      <c r="F12" s="210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3</v>
      </c>
      <c r="C14" s="164"/>
      <c r="D14" s="157" t="s">
        <v>15</v>
      </c>
      <c r="E14" s="158">
        <v>44692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39</v>
      </c>
      <c r="C15" s="160"/>
      <c r="D15" s="78" t="s">
        <v>13</v>
      </c>
      <c r="E15" s="211" t="s">
        <v>14</v>
      </c>
      <c r="F15" s="212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07"/>
      <c r="F16" s="208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01"/>
      <c r="F17" s="202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01"/>
      <c r="F18" s="202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01"/>
      <c r="F19" s="202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01"/>
      <c r="F20" s="202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01"/>
      <c r="F21" s="20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01"/>
      <c r="F22" s="20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03"/>
      <c r="F23" s="204"/>
      <c r="G23" s="51"/>
    </row>
    <row r="24" spans="1:7" s="52" customFormat="1" ht="15" thickBot="1" x14ac:dyDescent="0.35">
      <c r="A24" s="162" t="s">
        <v>28</v>
      </c>
      <c r="B24" s="83">
        <f>SUM(B16:B23)</f>
        <v>0</v>
      </c>
      <c r="C24" s="162" t="str">
        <f xml:space="preserve"> setValueToTime(B24)</f>
        <v>0h</v>
      </c>
      <c r="D24" s="121"/>
      <c r="E24" s="209"/>
      <c r="F24" s="210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2</v>
      </c>
      <c r="C26" s="164"/>
      <c r="D26" s="157" t="s">
        <v>15</v>
      </c>
      <c r="E26" s="158">
        <v>44685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39</v>
      </c>
      <c r="C27" s="160"/>
      <c r="D27" s="78" t="s">
        <v>13</v>
      </c>
      <c r="E27" s="211" t="s">
        <v>14</v>
      </c>
      <c r="F27" s="212"/>
      <c r="G27" s="46"/>
    </row>
    <row r="28" spans="1:7" s="52" customFormat="1" x14ac:dyDescent="0.3">
      <c r="A28" s="48" t="s">
        <v>4</v>
      </c>
      <c r="B28" s="49">
        <v>9</v>
      </c>
      <c r="C28" s="152" t="str">
        <f xml:space="preserve"> IF(B28="","",setValueToTime(B28))</f>
        <v>0h45min</v>
      </c>
      <c r="D28" s="214" t="s">
        <v>49</v>
      </c>
      <c r="E28" s="207"/>
      <c r="F28" s="208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01"/>
      <c r="F29" s="202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01"/>
      <c r="F30" s="202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01"/>
      <c r="F31" s="202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01"/>
      <c r="F32" s="202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01"/>
      <c r="F33" s="202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01"/>
      <c r="F34" s="202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03"/>
      <c r="F35" s="204"/>
      <c r="G35" s="51"/>
    </row>
    <row r="36" spans="1:7" s="52" customFormat="1" ht="15" thickBot="1" x14ac:dyDescent="0.35">
      <c r="A36" s="162" t="s">
        <v>28</v>
      </c>
      <c r="B36" s="83">
        <f>SUM(B28:B35)</f>
        <v>9</v>
      </c>
      <c r="C36" s="162" t="str">
        <f xml:space="preserve"> setValueToTime(B36)</f>
        <v>0h45min</v>
      </c>
      <c r="D36" s="121"/>
      <c r="E36" s="209"/>
      <c r="F36" s="210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1</v>
      </c>
      <c r="C38" s="164"/>
      <c r="D38" s="157" t="s">
        <v>15</v>
      </c>
      <c r="E38" s="158">
        <v>44664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39</v>
      </c>
      <c r="C39" s="160"/>
      <c r="D39" s="78" t="s">
        <v>13</v>
      </c>
      <c r="E39" s="211" t="s">
        <v>14</v>
      </c>
      <c r="F39" s="212"/>
      <c r="G39" s="46"/>
    </row>
    <row r="40" spans="1:7" s="52" customFormat="1" ht="27" x14ac:dyDescent="0.3">
      <c r="A40" s="48" t="s">
        <v>45</v>
      </c>
      <c r="B40" s="49">
        <v>48</v>
      </c>
      <c r="C40" s="152" t="str">
        <f xml:space="preserve"> IF(B40="","",setValueToTime(B40))</f>
        <v>4h</v>
      </c>
      <c r="D40" s="214" t="s">
        <v>48</v>
      </c>
      <c r="E40" s="207"/>
      <c r="F40" s="208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01"/>
      <c r="F41" s="202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01"/>
      <c r="F42" s="202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01"/>
      <c r="F43" s="202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01"/>
      <c r="F44" s="202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01"/>
      <c r="F45" s="202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01"/>
      <c r="F46" s="202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03"/>
      <c r="F47" s="204"/>
      <c r="G47" s="51"/>
    </row>
    <row r="48" spans="1:7" s="52" customFormat="1" ht="15" thickBot="1" x14ac:dyDescent="0.35">
      <c r="A48" s="162" t="s">
        <v>28</v>
      </c>
      <c r="B48" s="83">
        <f>SUM(B40:B47)</f>
        <v>48</v>
      </c>
      <c r="C48" s="162" t="str">
        <f xml:space="preserve"> setValueToTime(B48)</f>
        <v>4h</v>
      </c>
      <c r="D48" s="121"/>
      <c r="E48" s="209"/>
      <c r="F48" s="210"/>
      <c r="G48" s="51"/>
    </row>
    <row r="49" spans="1:7" s="59" customFormat="1" x14ac:dyDescent="0.3">
      <c r="A49" s="77"/>
      <c r="B49" s="77"/>
      <c r="C49" s="77"/>
      <c r="D49" s="77"/>
      <c r="E49" s="77"/>
      <c r="F49" s="77"/>
      <c r="G49" s="58"/>
    </row>
  </sheetData>
  <sheetProtection formatRows="0" insertRows="0" insertHyperlinks="0" deleteRows="0" selectLockedCells="1"/>
  <mergeCells count="40">
    <mergeCell ref="E9:F9"/>
    <mergeCell ref="E10:F10"/>
    <mergeCell ref="E11:F11"/>
    <mergeCell ref="E12:F12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9:F39"/>
    <mergeCell ref="E40:F40"/>
    <mergeCell ref="E41:F41"/>
    <mergeCell ref="E42:F42"/>
    <mergeCell ref="E43:F43"/>
    <mergeCell ref="E44:F44"/>
  </mergeCells>
  <phoneticPr fontId="0" type="noConversion"/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48 B36 B24 B12">
      <formula1>0</formula1>
      <formula2>60</formula2>
    </dataValidation>
    <dataValidation type="list" allowBlank="1" showInputMessage="1" showErrorMessage="1" sqref="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E1" sqref="E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2"/>
      <c r="B10" s="182"/>
      <c r="C10" s="182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90"/>
    </row>
    <row r="11" spans="1:61" ht="18" x14ac:dyDescent="0.25">
      <c r="A11" s="184"/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90"/>
    </row>
    <row r="12" spans="1:61" ht="18.75" thickBot="1" x14ac:dyDescent="0.3">
      <c r="A12" s="185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  <c r="BF12" s="185"/>
      <c r="BG12" s="185"/>
      <c r="BH12" s="185"/>
      <c r="BI12" s="90"/>
    </row>
    <row r="13" spans="1:61" ht="18.75" thickBot="1" x14ac:dyDescent="0.3">
      <c r="A13" s="186" t="s">
        <v>12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  <c r="AE13" s="187"/>
      <c r="AF13" s="187"/>
      <c r="AG13" s="187"/>
      <c r="AH13" s="187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/>
      <c r="BC13" s="187"/>
      <c r="BD13" s="187"/>
      <c r="BE13" s="187"/>
      <c r="BF13" s="187"/>
      <c r="BG13" s="187"/>
      <c r="BH13" s="188"/>
      <c r="BI13" s="90"/>
    </row>
    <row r="14" spans="1:61" ht="15.75" thickBot="1" x14ac:dyDescent="0.35">
      <c r="A14" s="103"/>
      <c r="B14" s="104"/>
      <c r="C14" s="104"/>
      <c r="D14" s="104"/>
      <c r="E14" s="189" t="s">
        <v>33</v>
      </c>
      <c r="F14" s="189"/>
      <c r="G14" s="189"/>
      <c r="H14" s="189"/>
      <c r="I14" s="104"/>
      <c r="J14" s="104"/>
      <c r="K14" s="190" t="s">
        <v>23</v>
      </c>
      <c r="L14" s="190"/>
      <c r="M14" s="190"/>
      <c r="N14" s="190"/>
      <c r="O14" s="129"/>
      <c r="P14" s="129"/>
      <c r="Q14" s="189" t="s">
        <v>34</v>
      </c>
      <c r="R14" s="189"/>
      <c r="S14" s="189"/>
      <c r="T14" s="189"/>
      <c r="U14" s="104"/>
      <c r="V14" s="104"/>
      <c r="W14" s="190" t="s">
        <v>24</v>
      </c>
      <c r="X14" s="190"/>
      <c r="Y14" s="190"/>
      <c r="Z14" s="190"/>
      <c r="AA14" s="129"/>
      <c r="AB14" s="129"/>
      <c r="AC14" s="189" t="s">
        <v>35</v>
      </c>
      <c r="AD14" s="189"/>
      <c r="AE14" s="189"/>
      <c r="AF14" s="189"/>
      <c r="AG14" s="104"/>
      <c r="AH14" s="104"/>
      <c r="AI14" s="190" t="s">
        <v>25</v>
      </c>
      <c r="AJ14" s="190"/>
      <c r="AK14" s="190"/>
      <c r="AL14" s="190"/>
      <c r="AM14" s="129"/>
      <c r="AN14" s="129"/>
      <c r="AO14" s="189" t="s">
        <v>36</v>
      </c>
      <c r="AP14" s="189"/>
      <c r="AQ14" s="189"/>
      <c r="AR14" s="189"/>
      <c r="AS14" s="104"/>
      <c r="AT14" s="104"/>
      <c r="AU14" s="190" t="s">
        <v>26</v>
      </c>
      <c r="AV14" s="190"/>
      <c r="AW14" s="190"/>
      <c r="AX14" s="190"/>
      <c r="AY14" s="129"/>
      <c r="AZ14" s="129"/>
      <c r="BA14" s="189" t="s">
        <v>37</v>
      </c>
      <c r="BB14" s="189"/>
      <c r="BC14" s="189"/>
      <c r="BD14" s="189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39</v>
      </c>
      <c r="C2" s="151"/>
      <c r="D2" s="80" t="s">
        <v>13</v>
      </c>
      <c r="E2" s="199" t="s">
        <v>14</v>
      </c>
      <c r="F2" s="200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07"/>
      <c r="F3" s="208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01"/>
      <c r="F4" s="20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01"/>
      <c r="F5" s="20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1"/>
      <c r="F6" s="20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01"/>
      <c r="F7" s="20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1"/>
      <c r="F8" s="20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1"/>
      <c r="F9" s="20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03"/>
      <c r="F10" s="204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05"/>
      <c r="F11" s="206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39</v>
      </c>
      <c r="C2" s="160"/>
      <c r="D2" s="78" t="s">
        <v>13</v>
      </c>
      <c r="E2" s="211" t="s">
        <v>14</v>
      </c>
      <c r="F2" s="212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07"/>
      <c r="F3" s="208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01"/>
      <c r="F4" s="20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01"/>
      <c r="F5" s="20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1"/>
      <c r="F6" s="20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01"/>
      <c r="F7" s="20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1"/>
      <c r="F8" s="20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1"/>
      <c r="F9" s="20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03"/>
      <c r="F10" s="204"/>
      <c r="G10" s="51"/>
    </row>
    <row r="11" spans="1:7" s="52" customFormat="1" ht="15" thickBot="1" x14ac:dyDescent="0.35">
      <c r="A11" s="162" t="s">
        <v>28</v>
      </c>
      <c r="B11" s="83">
        <f>SUM(B3:B10)</f>
        <v>0</v>
      </c>
      <c r="C11" s="162" t="str">
        <f xml:space="preserve"> setValueToTime(B11)</f>
        <v>0h</v>
      </c>
      <c r="D11" s="121"/>
      <c r="E11" s="209"/>
      <c r="F11" s="210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Journal</vt:lpstr>
      <vt:lpstr>Planning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Emilien Charpié</dc:creator>
  <cp:lastModifiedBy>Emilien Charpié</cp:lastModifiedBy>
  <cp:lastPrinted>2019-05-08T10:31:53Z</cp:lastPrinted>
  <dcterms:created xsi:type="dcterms:W3CDTF">1996-10-21T11:03:58Z</dcterms:created>
  <dcterms:modified xsi:type="dcterms:W3CDTF">2022-05-04T07:06:54Z</dcterms:modified>
</cp:coreProperties>
</file>